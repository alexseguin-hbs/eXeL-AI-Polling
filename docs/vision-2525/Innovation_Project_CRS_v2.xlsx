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gend + Assumptions" sheetId="1" state="visible" r:id="rId3"/>
    <sheet name="Incentive Model" sheetId="2" state="visible" r:id="rId4"/>
    <sheet name="Design Matrix" sheetId="3" state="visible" r:id="rId5"/>
    <sheet name="Verification" sheetId="4" state="visible" r:id="rId6"/>
    <sheet name="Transfer + Change" sheetId="5" state="visible" r:id="rId7"/>
    <sheet name="Gate Map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<sst xmlns="http://schemas.openxmlformats.org/spreadsheetml/2006/main" count="285" uniqueCount="232">
  <si>
    <t xml:space="preserve">Innovation Project — Customer Requirement Specification (CRS)</t>
  </si>
  <si>
    <t xml:space="preserve">Governs an R-Core innovation project run on the eXeL AI platform. ID grammar follows the AMTS Design Traceability Matrix.</t>
  </si>
  <si>
    <t xml:space="preserve">HOW TO USE</t>
  </si>
  <si>
    <t xml:space="preserve">Blue text</t>
  </si>
  <si>
    <t xml:space="preserve">Hardcoded input — edit these.</t>
  </si>
  <si>
    <t xml:space="preserve">Yellow fill</t>
  </si>
  <si>
    <t xml:space="preserve">Assumption to confirm. Every one is a placeholder until you set it.</t>
  </si>
  <si>
    <t xml:space="preserve">Black text</t>
  </si>
  <si>
    <t xml:space="preserve">Formula. Do not overwrite.</t>
  </si>
  <si>
    <t xml:space="preserve">ID GRAMMAR</t>
  </si>
  <si>
    <t xml:space="preserve">CRS-##.IN.SRS.###</t>
  </si>
  <si>
    <t xml:space="preserve">Design input — what the customer/business requires.</t>
  </si>
  <si>
    <t xml:space="preserve">CRS-##.OUT.SRS.###</t>
  </si>
  <si>
    <t xml:space="preserve">Design output — the definable, measurable result.</t>
  </si>
  <si>
    <t xml:space="preserve">DR-YYYY.MM.DD-DR.###</t>
  </si>
  <si>
    <t xml:space="preserve">Design review.</t>
  </si>
  <si>
    <t xml:space="preserve">TR-YYYY.MM.DD-TR.###</t>
  </si>
  <si>
    <t xml:space="preserve">Test run.</t>
  </si>
  <si>
    <t xml:space="preserve">TR.###_YYYY.MM.DD_IS.###</t>
  </si>
  <si>
    <t xml:space="preserve">Test issue raised against a test run.</t>
  </si>
  <si>
    <t xml:space="preserve">DT.###_YYYY.MM.DD_PRS.###</t>
  </si>
  <si>
    <t xml:space="preserve">Design transfer.</t>
  </si>
  <si>
    <t xml:space="preserve">DC.###_YYYY.MM.DD_PRS.###</t>
  </si>
  <si>
    <t xml:space="preserve">Design change.</t>
  </si>
  <si>
    <t xml:space="preserve">PROGRAM ASSUMPTIONS</t>
  </si>
  <si>
    <t xml:space="preserve">Assumption</t>
  </si>
  <si>
    <t xml:space="preserve">Value</t>
  </si>
  <si>
    <t xml:space="preserve">Source</t>
  </si>
  <si>
    <t xml:space="preserve">Projects in program</t>
  </si>
  <si>
    <t xml:space="preserve">Stated by user</t>
  </si>
  <si>
    <t xml:space="preserve">Total program funding ($)</t>
  </si>
  <si>
    <t xml:space="preserve">Baseline duration per project (months)</t>
  </si>
  <si>
    <t xml:space="preserve">Target compressed duration (months)</t>
  </si>
  <si>
    <t xml:space="preserve">Working days per month</t>
  </si>
  <si>
    <t xml:space="preserve">ASSUMPTION — confirm</t>
  </si>
  <si>
    <t xml:space="preserve">Working hours per day</t>
  </si>
  <si>
    <t xml:space="preserve">Early-delivery pool, minimum (% of program)</t>
  </si>
  <si>
    <t xml:space="preserve">Stated by user — floor</t>
  </si>
  <si>
    <t xml:space="preserve">Early-delivery pool, target (% of program)</t>
  </si>
  <si>
    <t xml:space="preserve">Stated by user — $1M on $9M</t>
  </si>
  <si>
    <t xml:space="preserve">Share of pool to delivery team (%)</t>
  </si>
  <si>
    <t xml:space="preserve">PROPOSAL — see CRS-17</t>
  </si>
  <si>
    <t xml:space="preserve">Share of pool to gate approvers (%)</t>
  </si>
  <si>
    <t xml:space="preserve">Share of pool to risk market (%)</t>
  </si>
  <si>
    <t xml:space="preserve">Clawback reserve held to launch (%)</t>
  </si>
  <si>
    <t xml:space="preserve">PROPOSAL — see CRS-18</t>
  </si>
  <si>
    <t xml:space="preserve">Early-Delivery Incentive — self-funding from avoided burn</t>
  </si>
  <si>
    <t xml:space="preserve">The pool is paid out of R&amp;D burn that was budgeted and not spent. The sponsor's return is the revenue pulled forward, which is not consumed by the pool.</t>
  </si>
  <si>
    <t xml:space="preserve">Program burn rate ($/month)</t>
  </si>
  <si>
    <t xml:space="preserve">Program burn rate ($/day)</t>
  </si>
  <si>
    <t xml:space="preserve">Program burn rate ($/hour)</t>
  </si>
  <si>
    <t xml:space="preserve">Program burn rate ($/min)  — MoT</t>
  </si>
  <si>
    <t xml:space="preserve">Per-project burn rate ($/min)</t>
  </si>
  <si>
    <t xml:space="preserve">Months delivered early</t>
  </si>
  <si>
    <t xml:space="preserve">Burn avoided ($)</t>
  </si>
  <si>
    <t xml:space="preserve">Pool at minimum rate ($)</t>
  </si>
  <si>
    <t xml:space="preserve">Pool at target rate ($)</t>
  </si>
  <si>
    <t xml:space="preserve">Pool as % of burn avoided (target)</t>
  </si>
  <si>
    <t xml:space="preserve">Sponsor net on burn alone ($)</t>
  </si>
  <si>
    <t xml:space="preserve">Delivery team share ($)</t>
  </si>
  <si>
    <t xml:space="preserve">Gate approver share ($)</t>
  </si>
  <si>
    <t xml:space="preserve">Risk market share ($)</t>
  </si>
  <si>
    <t xml:space="preserve">Split check (must equal pool)</t>
  </si>
  <si>
    <t xml:space="preserve">Note: target pool at 2 months early equals the burn avoided exactly. Sponsor return comes from revenue displacement, not from burn. See CRS-17.</t>
  </si>
  <si>
    <t xml:space="preserve">Held to launch, at risk ($)</t>
  </si>
  <si>
    <t xml:space="preserve">Product Requirements: Design Traceability Matrix — Innovation Project</t>
  </si>
  <si>
    <t xml:space="preserve">Plan Stage: Customer User Stories + Customer Requirement Specs  |  Develop Stage: Team Specification # + Design Output #</t>
  </si>
  <si>
    <t xml:space="preserve">Gate</t>
  </si>
  <si>
    <t xml:space="preserve">Dev Team</t>
  </si>
  <si>
    <t xml:space="preserve">Design Input #</t>
  </si>
  <si>
    <t xml:space="preserve">Specification Input: Target at Launch</t>
  </si>
  <si>
    <t xml:space="preserve">Market Input: Stretch Target</t>
  </si>
  <si>
    <t xml:space="preserve">Design Output #</t>
  </si>
  <si>
    <t xml:space="preserve">Design Output: Definable / Measurable</t>
  </si>
  <si>
    <t xml:space="preserve">G1</t>
  </si>
  <si>
    <t xml:space="preserve">Software</t>
  </si>
  <si>
    <t xml:space="preserve">CRS-75.IN.SRS.040</t>
  </si>
  <si>
    <t xml:space="preserve">Platform is the sole system of record for G1-G7 progression; a gate state that exists only in a deck or email is not a gate state.</t>
  </si>
  <si>
    <t xml:space="preserve">External PM tools read gate state from the platform API rather than holding their own.</t>
  </si>
  <si>
    <t xml:space="preserve">CRS-75.OUT.SRS.040</t>
  </si>
  <si>
    <t xml:space="preserve">100% of gate transitions carry a platform event; zero reconstructed from documents.</t>
  </si>
  <si>
    <t xml:space="preserve">Vision 2525 design</t>
  </si>
  <si>
    <t xml:space="preserve">CRS-76.IN.SRS.041</t>
  </si>
  <si>
    <t xml:space="preserve">A deliverable advances only when its bound API function completes with a valid payload. No manual status field exists.</t>
  </si>
  <si>
    <t xml:space="preserve">Function completion auto-drafts the gate review packet.</t>
  </si>
  <si>
    <t xml:space="preserve">CRS-76.OUT.SRS.041</t>
  </si>
  <si>
    <t xml:space="preserve">Zero writable status fields in schema; deliverable state is a fold over the event log, reproducible on replay.</t>
  </si>
  <si>
    <t xml:space="preserve">CRS-77.IN.SRS.042</t>
  </si>
  <si>
    <t xml:space="preserve">Gate transition blocked while any DACI-designated Approver has not signed. Reviewers are advisory and non-blocking.</t>
  </si>
  <si>
    <t xml:space="preserve">Approver absence auto-escalates to the Steering Team after a set interval.</t>
  </si>
  <si>
    <t xml:space="preserve">CRS-77.OUT.SRS.042</t>
  </si>
  <si>
    <t xml:space="preserve">No gate closes with an outstanding required Approver; escalation fires within the configured interval.</t>
  </si>
  <si>
    <t xml:space="preserve">AMTS DACI table</t>
  </si>
  <si>
    <t xml:space="preserve">CRS-78.IN.SRS.043</t>
  </si>
  <si>
    <t xml:space="preserve">All state changes recorded in an append-only event log. Gate Review History is a query over that log.</t>
  </si>
  <si>
    <t xml:space="preserve">Any past moment reconstructable for audit or gate review.</t>
  </si>
  <si>
    <t xml:space="preserve">CRS-78.OUT.SRS.043</t>
  </si>
  <si>
    <t xml:space="preserve">Replay to any timestamp reproduces the state shown at that time; audit trail and state cannot disagree.</t>
  </si>
  <si>
    <t xml:space="preserve">G2</t>
  </si>
  <si>
    <t xml:space="preserve">UX / ID</t>
  </si>
  <si>
    <t xml:space="preserve">CRS-79.IN.SRS.044</t>
  </si>
  <si>
    <t xml:space="preserve">Project state renders as a 3x3x3 cube whose cells fill as deliverables are approved.</t>
  </si>
  <si>
    <t xml:space="preserve">Portfolio view shows all projects as cubes at a glance.</t>
  </si>
  <si>
    <t xml:space="preserve">CRS-79.OUT.SRS.044</t>
  </si>
  <si>
    <t xml:space="preserve">A user identifies stage and blocking gate from the cube alone, without reading text.</t>
  </si>
  <si>
    <t xml:space="preserve">Cube Analysis</t>
  </si>
  <si>
    <t xml:space="preserve">CRS-80.IN.SRS.045</t>
  </si>
  <si>
    <t xml:space="preserve">Deliverable groupings always tile exactly 27 cells with every group face-connected.</t>
  </si>
  <si>
    <t xml:space="preserve">Partition strategy selectable per project for visual variety.</t>
  </si>
  <si>
    <t xml:space="preserve">CRS-80.OUT.SRS.045</t>
  </si>
  <si>
    <t xml:space="preserve">Validator rejects any configuration not summing to 27 or containing a disconnected group; failure throws rather than renders.</t>
  </si>
  <si>
    <t xml:space="preserve">CRS-81.IN.SRS.046</t>
  </si>
  <si>
    <t xml:space="preserve">Any authenticated user may submit a risk prediction against any project, gate, or item, regardless of assignment.</t>
  </si>
  <si>
    <t xml:space="preserve">External partners and customers may submit under a restricted scope.</t>
  </si>
  <si>
    <t xml:space="preserve">CRS-81.OUT.SRS.046</t>
  </si>
  <si>
    <t xml:space="preserve">Submission accepted from users with no role on the target project; median submission time under 60 seconds.</t>
  </si>
  <si>
    <t xml:space="preserve">G3</t>
  </si>
  <si>
    <t xml:space="preserve">AI/ML</t>
  </si>
  <si>
    <t xml:space="preserve">CRS-82.IN.SRS.047</t>
  </si>
  <si>
    <t xml:space="preserve">Submitted risks are clustered into themes and returned for team voting.</t>
  </si>
  <si>
    <t xml:space="preserve">Themes proposed live as submissions arrive rather than on close.</t>
  </si>
  <si>
    <t xml:space="preserve">CRS-82.OUT.SRS.047</t>
  </si>
  <si>
    <t xml:space="preserve">1,000,000 responses themed in under 60 seconds; identical input produces identical themes.</t>
  </si>
  <si>
    <t xml:space="preserve">Existing CRS scale target</t>
  </si>
  <si>
    <t xml:space="preserve">CRS-83.IN.SRS.048</t>
  </si>
  <si>
    <t xml:space="preserve">Predictions resolve as materialized, mitigated, superseded, not-borne-out, or unresolvable. Mitigated pays identically to materialized.</t>
  </si>
  <si>
    <t xml:space="preserve">Resolution proposed automatically from gate evidence, confirmed by a human resolver.</t>
  </si>
  <si>
    <t xml:space="preserve">CRS-83.OUT.SRS.048</t>
  </si>
  <si>
    <t xml:space="preserve">Payout for mitigated equals materialized at equal lead time and specificity; verified by test case.</t>
  </si>
  <si>
    <t xml:space="preserve">Prevention paradox fix</t>
  </si>
  <si>
    <t xml:space="preserve">CRS-84.IN.SRS.049</t>
  </si>
  <si>
    <t xml:space="preserve">Predictor, actioner, and resolver enforced as distinct identities on any prediction. Predictions require a stake.</t>
  </si>
  <si>
    <t xml:space="preserve">Stake size set by the predictor as a confidence signal.</t>
  </si>
  <si>
    <t xml:space="preserve">CRS-84.OUT.SRS.049</t>
  </si>
  <si>
    <t xml:space="preserve">Zero predictions resolve where any two roles share an identity; 100% of scored predictions carry a stake.</t>
  </si>
  <si>
    <t xml:space="preserve">Anti-gaming control</t>
  </si>
  <si>
    <t xml:space="preserve">CRS-85.IN.SRS.050</t>
  </si>
  <si>
    <t xml:space="preserve">Every item carries planned and actual time start and time stop. No item exists without both planned values.</t>
  </si>
  <si>
    <t xml:space="preserve">Actuals captured from function events rather than self-reported.</t>
  </si>
  <si>
    <t xml:space="preserve">CRS-85.OUT.SRS.050</t>
  </si>
  <si>
    <t xml:space="preserve">100% of items have planned start and stop at gate entry; actuals present for all closed items.</t>
  </si>
  <si>
    <t xml:space="preserve">G4</t>
  </si>
  <si>
    <t xml:space="preserve">Finance / FP&amp;A</t>
  </si>
  <si>
    <t xml:space="preserve">CRS-86.IN.SRS.051</t>
  </si>
  <si>
    <t xml:space="preserve">Durations and costs render with the stage tolerance band: +/-60% Concept, +/-40% Plan, +/-20% Develop, +/-10% Qualify, +/-5% Launch.</t>
  </si>
  <si>
    <t xml:space="preserve">Band narrows continuously from evidence rather than stepping at gates.</t>
  </si>
  <si>
    <t xml:space="preserve">CRS-86.OUT.SRS.051</t>
  </si>
  <si>
    <t xml:space="preserve">No point estimate rendered without its band; failure to tighten by the next gate raises a flag.</t>
  </si>
  <si>
    <t xml:space="preserve">AMTS BC Development slide</t>
  </si>
  <si>
    <t xml:space="preserve">CRS-87.IN.SRS.052</t>
  </si>
  <si>
    <t xml:space="preserve">Moving any date moves all dependent dates and downstream financials right, including budget calendar, with no manual re-entry.</t>
  </si>
  <si>
    <t xml:space="preserve">Cascade previewed before commit, showing blast radius across projects.</t>
  </si>
  <si>
    <t xml:space="preserve">CRS-87.OUT.SRS.052</t>
  </si>
  <si>
    <t xml:space="preserve">Date of first revenue is derived, never entered; a slip updates NPV, IRR, FTE ramp and budget within one refresh.</t>
  </si>
  <si>
    <t xml:space="preserve">CRS-88.IN.SRS.053</t>
  </si>
  <si>
    <t xml:space="preserve">Cost of elapsed time reported to $/min at portfolio and project level, split into burn and revenue displacement.</t>
  </si>
  <si>
    <t xml:space="preserve">Open decisions show accrued cost since they opened.</t>
  </si>
  <si>
    <t xml:space="preserve">CRS-88.OUT.SRS.053</t>
  </si>
  <si>
    <t xml:space="preserve">Both figures shown separately and never summed silently; portfolio and per-project rates on every project view.</t>
  </si>
  <si>
    <t xml:space="preserve">Stated by user - MoT</t>
  </si>
  <si>
    <t xml:space="preserve">CRS-89.IN.SRS.054</t>
  </si>
  <si>
    <t xml:space="preserve">Cross-project critical path derivable from the dependency graph on demand.</t>
  </si>
  <si>
    <t xml:space="preserve">Graph distinguishes hard dependencies from assumed ones.</t>
  </si>
  <si>
    <t xml:space="preserve">CRS-89.OUT.SRS.054</t>
  </si>
  <si>
    <t xml:space="preserve">For 400 projects, the set determining the portfolio date is listable in a single view.</t>
  </si>
  <si>
    <t xml:space="preserve">G5</t>
  </si>
  <si>
    <t xml:space="preserve">Business Mgmt</t>
  </si>
  <si>
    <t xml:space="preserve">CRS-90.IN.SRS.055</t>
  </si>
  <si>
    <t xml:space="preserve">Schedule baseline for incentive calculation locked at G2 by an Approver outside the delivery team, immutable thereafter.</t>
  </si>
  <si>
    <t xml:space="preserve">Baseline lock requires a second approver from Finance.</t>
  </si>
  <si>
    <t xml:space="preserve">CRS-90.OUT.SRS.055</t>
  </si>
  <si>
    <t xml:space="preserve">Zero baselines edited after lock; zero locked by an identity in the receiving team.</t>
  </si>
  <si>
    <t xml:space="preserve">Anti-sandbagging control</t>
  </si>
  <si>
    <t xml:space="preserve">CRS-91.IN.SRS.056</t>
  </si>
  <si>
    <t xml:space="preserve">Project Upside against the locked baseline funds a pool of at least 10% of program value per month early (target 11.1%, $1M per month on $9M), shared across delivery team, gate approvers, and risk market participants.</t>
  </si>
  <si>
    <t xml:space="preserve">Pool auto-splits by measured contribution rather than fixed shares.</t>
  </si>
  <si>
    <t xml:space="preserve">CRS-91.OUT.SRS.056</t>
  </si>
  <si>
    <t xml:space="preserve">Pool never exceeds burn avoided; approver share non-zero wherever review latency contributed to the saving.</t>
  </si>
  <si>
    <t xml:space="preserve">CRS-92.IN.SRS.057</t>
  </si>
  <si>
    <t xml:space="preserve">Upside reward scales with critical-path contribution: early delivery that unblocks a downstream team earns a multiplier over early delivery off the critical path.</t>
  </si>
  <si>
    <t xml:space="preserve">Multiplier previewed before a team commits to a compression.</t>
  </si>
  <si>
    <t xml:space="preserve">CRS-92.OUT.SRS.057</t>
  </si>
  <si>
    <t xml:space="preserve">Multiplier computed from the dependency graph, not assigned by hand; off-critical-path upside pays base rate only.</t>
  </si>
  <si>
    <t xml:space="preserve">G6</t>
  </si>
  <si>
    <t xml:space="preserve">HR Planning</t>
  </si>
  <si>
    <t xml:space="preserve">CRS-93.IN.SRS.058</t>
  </si>
  <si>
    <t xml:space="preserve">Intelligence load tracked across AI, SI, and HI contribution per team, with sustained human-load thresholds acting as a burnout guard that reduces or voids upside payout.</t>
  </si>
  <si>
    <t xml:space="preserve">Load trend predicts burnout risk before the threshold is crossed.</t>
  </si>
  <si>
    <t xml:space="preserve">CRS-93.OUT.SRS.058</t>
  </si>
  <si>
    <t xml:space="preserve">Upside earned above the human-load threshold is withheld pending review; guard is enforcing, not advisory. SI measurement rule PENDING DEFINITION.</t>
  </si>
  <si>
    <t xml:space="preserve">Qualify Stage: Design Matrix — Design Review # + Test Run #</t>
  </si>
  <si>
    <t xml:space="preserve">One row per verification event. Fill as reviews and test runs occur.</t>
  </si>
  <si>
    <t xml:space="preserve">Design Review #</t>
  </si>
  <si>
    <t xml:space="preserve">Design Review Plan</t>
  </si>
  <si>
    <t xml:space="preserve">Verification &amp; Validation Plan</t>
  </si>
  <si>
    <t xml:space="preserve">Test Run #</t>
  </si>
  <si>
    <t xml:space="preserve">Test Issues</t>
  </si>
  <si>
    <t xml:space="preserve">Test Issue Description</t>
  </si>
  <si>
    <t xml:space="preserve">CRS-05.IN.SRS.005</t>
  </si>
  <si>
    <t xml:space="preserve">DR-2026.09.14-DR.001</t>
  </si>
  <si>
    <t xml:space="preserve">Theming determinism review with AI/ML + Software</t>
  </si>
  <si>
    <t xml:space="preserve">Replay 1M-response corpus 3x; compare theme sets byte-for-byte</t>
  </si>
  <si>
    <t xml:space="preserve">TR-2026.09.28-TR.001</t>
  </si>
  <si>
    <t xml:space="preserve">TR.001_2026.09.28_IS.001</t>
  </si>
  <si>
    <t xml:space="preserve">Run 3 produced 41 themes vs 40; non-determinism traced to provider ordering</t>
  </si>
  <si>
    <t xml:space="preserve">^ example row — replace</t>
  </si>
  <si>
    <t xml:space="preserve">Launch Stage: Design Matrix — Design Transfer + Design Change</t>
  </si>
  <si>
    <t xml:space="preserve">Design Transfer</t>
  </si>
  <si>
    <t xml:space="preserve">Design Transfer Confirmation</t>
  </si>
  <si>
    <t xml:space="preserve">Design Change</t>
  </si>
  <si>
    <t xml:space="preserve">Design Change Description</t>
  </si>
  <si>
    <t xml:space="preserve">CRS-10.IN.SRS.010</t>
  </si>
  <si>
    <t xml:space="preserve">DT.001_2026.11.02_PRS.001</t>
  </si>
  <si>
    <t xml:space="preserve">Cascade engine handed to Ops, signed by R&amp;D</t>
  </si>
  <si>
    <t xml:space="preserve">DC.001_2026.11.18_PRS.001</t>
  </si>
  <si>
    <t xml:space="preserve">Budget calendar added to cascade after FP&amp;A review</t>
  </si>
  <si>
    <t xml:space="preserve">Gate Map — 27 cells across G1-G7</t>
  </si>
  <si>
    <t xml:space="preserve">partition(7) yields 4,4,4,4,4,4,3. CRS entries occupy cells; remaining cells are filled by AMTS Recommended items and Design Matrix artifacts.</t>
  </si>
  <si>
    <t xml:space="preserve">Stage</t>
  </si>
  <si>
    <t xml:space="preserve">Cells (from partition)</t>
  </si>
  <si>
    <t xml:space="preserve">CRS assigned</t>
  </si>
  <si>
    <t xml:space="preserve">Cells unassigned</t>
  </si>
  <si>
    <t xml:space="preserve">Concept</t>
  </si>
  <si>
    <t xml:space="preserve">Plan</t>
  </si>
  <si>
    <t xml:space="preserve">Develop</t>
  </si>
  <si>
    <t xml:space="preserve">Qualify</t>
  </si>
  <si>
    <t xml:space="preserve">Launch</t>
  </si>
  <si>
    <t xml:space="preserve">Maximize</t>
  </si>
  <si>
    <t xml:space="preserve">G7</t>
  </si>
  <si>
    <t xml:space="preserve">Retire / EOL</t>
  </si>
  <si>
    <t xml:space="preserve">TOTAL</t>
  </si>
  <si>
    <t xml:space="preserve">Cube check (must be 27)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</si>
</sst>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\$#,##0"/>
    <numFmt numFmtId="167" formatCode="0.0%"/>
    <numFmt numFmtId="168" formatCode="\$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CE6F1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8"/>
    <col collapsed="false" customWidth="true" hidden="false" outlineLevel="0" max="3" min="3" style="0" width="3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/>
      <c r="B4" s="4"/>
    </row>
    <row r="5" customFormat="false" ht="15" hidden="false" customHeight="false" outlineLevel="0" collapsed="false">
      <c r="A5" s="3" t="s">
        <v>2</v>
      </c>
      <c r="B5" s="4"/>
    </row>
    <row r="6" customFormat="false" ht="23.85" hidden="false" customHeight="false" outlineLevel="0" collapsed="false">
      <c r="A6" s="5" t="s">
        <v>3</v>
      </c>
      <c r="B6" s="4" t="s">
        <v>4</v>
      </c>
    </row>
    <row r="7" customFormat="false" ht="46.25" hidden="false" customHeight="false" outlineLevel="0" collapsed="false">
      <c r="A7" s="5" t="s">
        <v>5</v>
      </c>
      <c r="B7" s="4" t="s">
        <v>6</v>
      </c>
    </row>
    <row r="8" customFormat="false" ht="23.85" hidden="false" customHeight="false" outlineLevel="0" collapsed="false">
      <c r="A8" s="5" t="s">
        <v>7</v>
      </c>
      <c r="B8" s="4" t="s">
        <v>8</v>
      </c>
    </row>
    <row r="9" customFormat="false" ht="15" hidden="false" customHeight="false" outlineLevel="0" collapsed="false">
      <c r="A9" s="3"/>
      <c r="B9" s="4"/>
    </row>
    <row r="10" customFormat="false" ht="15" hidden="false" customHeight="false" outlineLevel="0" collapsed="false">
      <c r="A10" s="3" t="s">
        <v>9</v>
      </c>
      <c r="B10" s="4"/>
    </row>
    <row r="11" customFormat="false" ht="46.25" hidden="false" customHeight="false" outlineLevel="0" collapsed="false">
      <c r="A11" s="5" t="s">
        <v>10</v>
      </c>
      <c r="B11" s="4" t="s">
        <v>11</v>
      </c>
    </row>
    <row r="12" customFormat="false" ht="35.05" hidden="false" customHeight="false" outlineLevel="0" collapsed="false">
      <c r="A12" s="5" t="s">
        <v>12</v>
      </c>
      <c r="B12" s="4" t="s">
        <v>13</v>
      </c>
    </row>
    <row r="13" customFormat="false" ht="15" hidden="false" customHeight="false" outlineLevel="0" collapsed="false">
      <c r="A13" s="5" t="s">
        <v>14</v>
      </c>
      <c r="B13" s="4" t="s">
        <v>15</v>
      </c>
    </row>
    <row r="14" customFormat="false" ht="15" hidden="false" customHeight="false" outlineLevel="0" collapsed="false">
      <c r="A14" s="5" t="s">
        <v>16</v>
      </c>
      <c r="B14" s="4" t="s">
        <v>17</v>
      </c>
    </row>
    <row r="15" customFormat="false" ht="23.85" hidden="false" customHeight="false" outlineLevel="0" collapsed="false">
      <c r="A15" s="5" t="s">
        <v>18</v>
      </c>
      <c r="B15" s="4" t="s">
        <v>19</v>
      </c>
    </row>
    <row r="16" customFormat="false" ht="15" hidden="false" customHeight="false" outlineLevel="0" collapsed="false">
      <c r="A16" s="5" t="s">
        <v>20</v>
      </c>
      <c r="B16" s="4" t="s">
        <v>21</v>
      </c>
    </row>
    <row r="17" customFormat="false" ht="15" hidden="false" customHeight="false" outlineLevel="0" collapsed="false">
      <c r="A17" s="5" t="s">
        <v>22</v>
      </c>
      <c r="B17" s="4" t="s">
        <v>23</v>
      </c>
    </row>
    <row r="18" customFormat="false" ht="15" hidden="false" customHeight="false" outlineLevel="0" collapsed="false">
      <c r="A18" s="3"/>
      <c r="B18" s="4"/>
    </row>
    <row r="19" customFormat="false" ht="15" hidden="false" customHeight="false" outlineLevel="0" collapsed="false">
      <c r="A19" s="3" t="s">
        <v>24</v>
      </c>
      <c r="B19" s="4"/>
    </row>
    <row r="20" customFormat="false" ht="15" hidden="false" customHeight="false" outlineLevel="0" collapsed="false">
      <c r="A20" s="6" t="s">
        <v>25</v>
      </c>
      <c r="B20" s="6" t="s">
        <v>26</v>
      </c>
      <c r="C20" s="6" t="s">
        <v>27</v>
      </c>
    </row>
    <row r="21" customFormat="false" ht="15" hidden="false" customHeight="false" outlineLevel="0" collapsed="false">
      <c r="A21" s="5" t="s">
        <v>28</v>
      </c>
      <c r="B21" s="7" t="n">
        <v>9</v>
      </c>
      <c r="C21" s="2" t="s">
        <v>29</v>
      </c>
    </row>
    <row r="22" customFormat="false" ht="15" hidden="false" customHeight="false" outlineLevel="0" collapsed="false">
      <c r="A22" s="5" t="s">
        <v>30</v>
      </c>
      <c r="B22" s="8" t="n">
        <v>9000000</v>
      </c>
      <c r="C22" s="2" t="s">
        <v>29</v>
      </c>
    </row>
    <row r="23" customFormat="false" ht="15" hidden="false" customHeight="false" outlineLevel="0" collapsed="false">
      <c r="A23" s="5" t="s">
        <v>31</v>
      </c>
      <c r="B23" s="7" t="n">
        <v>9</v>
      </c>
      <c r="C23" s="2" t="s">
        <v>29</v>
      </c>
    </row>
    <row r="24" customFormat="false" ht="15" hidden="false" customHeight="false" outlineLevel="0" collapsed="false">
      <c r="A24" s="5" t="s">
        <v>32</v>
      </c>
      <c r="B24" s="7" t="n">
        <v>7</v>
      </c>
      <c r="C24" s="2" t="s">
        <v>29</v>
      </c>
    </row>
    <row r="25" customFormat="false" ht="15" hidden="false" customHeight="false" outlineLevel="0" collapsed="false">
      <c r="A25" s="5" t="s">
        <v>33</v>
      </c>
      <c r="B25" s="9" t="n">
        <v>21</v>
      </c>
      <c r="C25" s="2" t="s">
        <v>34</v>
      </c>
    </row>
    <row r="26" customFormat="false" ht="15" hidden="false" customHeight="false" outlineLevel="0" collapsed="false">
      <c r="A26" s="5" t="s">
        <v>35</v>
      </c>
      <c r="B26" s="9" t="n">
        <v>8</v>
      </c>
      <c r="C26" s="2" t="s">
        <v>34</v>
      </c>
    </row>
    <row r="27" customFormat="false" ht="15" hidden="false" customHeight="false" outlineLevel="0" collapsed="false">
      <c r="A27" s="5" t="s">
        <v>36</v>
      </c>
      <c r="B27" s="10" t="n">
        <v>0.1</v>
      </c>
      <c r="C27" s="2" t="s">
        <v>37</v>
      </c>
    </row>
    <row r="28" customFormat="false" ht="15" hidden="false" customHeight="false" outlineLevel="0" collapsed="false">
      <c r="A28" s="5" t="s">
        <v>38</v>
      </c>
      <c r="B28" s="10" t="n">
        <v>0.1111</v>
      </c>
      <c r="C28" s="2" t="s">
        <v>39</v>
      </c>
    </row>
    <row r="29" customFormat="false" ht="15" hidden="false" customHeight="false" outlineLevel="0" collapsed="false">
      <c r="A29" s="5" t="s">
        <v>40</v>
      </c>
      <c r="B29" s="11" t="n">
        <v>0.6</v>
      </c>
      <c r="C29" s="2" t="s">
        <v>41</v>
      </c>
    </row>
    <row r="30" customFormat="false" ht="15" hidden="false" customHeight="false" outlineLevel="0" collapsed="false">
      <c r="A30" s="5" t="s">
        <v>42</v>
      </c>
      <c r="B30" s="11" t="n">
        <v>0.25</v>
      </c>
      <c r="C30" s="2" t="s">
        <v>41</v>
      </c>
    </row>
    <row r="31" customFormat="false" ht="15" hidden="false" customHeight="false" outlineLevel="0" collapsed="false">
      <c r="A31" s="5" t="s">
        <v>43</v>
      </c>
      <c r="B31" s="11" t="n">
        <v>0.15</v>
      </c>
      <c r="C31" s="2" t="s">
        <v>41</v>
      </c>
    </row>
    <row r="32" customFormat="false" ht="15" hidden="false" customHeight="false" outlineLevel="0" collapsed="false">
      <c r="A32" s="5" t="s">
        <v>44</v>
      </c>
      <c r="B32" s="11" t="n">
        <v>0.3</v>
      </c>
      <c r="C32" s="2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1" t="s">
        <v>46</v>
      </c>
    </row>
    <row r="2" customFormat="false" ht="15" hidden="false" customHeight="false" outlineLevel="0" collapsed="false">
      <c r="A2" s="2" t="s">
        <v>47</v>
      </c>
    </row>
    <row r="4" customFormat="false" ht="15" hidden="false" customHeight="false" outlineLevel="0" collapsed="false">
      <c r="A4" s="5" t="s">
        <v>48</v>
      </c>
      <c r="B4" s="12" t="n">
        <f aca="false">'Legend + Assumptions'!$B$22/'Legend + Assumptions'!$B$23</f>
        <v>1000000</v>
      </c>
    </row>
    <row r="5" customFormat="false" ht="15" hidden="false" customHeight="false" outlineLevel="0" collapsed="false">
      <c r="A5" s="5" t="s">
        <v>49</v>
      </c>
      <c r="B5" s="12" t="n">
        <f aca="false">B4/'Legend + Assumptions'!$B$25</f>
        <v>47619.0476190476</v>
      </c>
    </row>
    <row r="6" customFormat="false" ht="15" hidden="false" customHeight="false" outlineLevel="0" collapsed="false">
      <c r="A6" s="5" t="s">
        <v>50</v>
      </c>
      <c r="B6" s="12" t="n">
        <f aca="false">B5/'Legend + Assumptions'!$B$26</f>
        <v>5952.38095238095</v>
      </c>
    </row>
    <row r="7" customFormat="false" ht="15" hidden="false" customHeight="false" outlineLevel="0" collapsed="false">
      <c r="A7" s="3" t="s">
        <v>51</v>
      </c>
      <c r="B7" s="13" t="n">
        <f aca="false">B6/60</f>
        <v>99.2063492063492</v>
      </c>
    </row>
    <row r="8" customFormat="false" ht="15" hidden="false" customHeight="false" outlineLevel="0" collapsed="false">
      <c r="A8" s="5" t="s">
        <v>52</v>
      </c>
      <c r="B8" s="13" t="n">
        <f aca="false">B7/'Legend + Assumptions'!$B$21</f>
        <v>11.0229276895944</v>
      </c>
    </row>
    <row r="10" customFormat="false" ht="15" hidden="false" customHeight="false" outlineLevel="0" collapsed="false">
      <c r="A10" s="5" t="s">
        <v>53</v>
      </c>
      <c r="B10" s="14" t="n">
        <f aca="false">'Legend + Assumptions'!$B$23-'Legend + Assumptions'!$B$24</f>
        <v>2</v>
      </c>
    </row>
    <row r="11" customFormat="false" ht="15" hidden="false" customHeight="false" outlineLevel="0" collapsed="false">
      <c r="A11" s="5" t="s">
        <v>54</v>
      </c>
      <c r="B11" s="12" t="n">
        <f aca="false">B4*B10</f>
        <v>2000000</v>
      </c>
    </row>
    <row r="13" customFormat="false" ht="15" hidden="false" customHeight="false" outlineLevel="0" collapsed="false">
      <c r="A13" s="5" t="s">
        <v>55</v>
      </c>
      <c r="B13" s="12" t="n">
        <f aca="false">'Legend + Assumptions'!$B$22*'Legend + Assumptions'!$B$27*B10</f>
        <v>1800000</v>
      </c>
    </row>
    <row r="14" customFormat="false" ht="15" hidden="false" customHeight="false" outlineLevel="0" collapsed="false">
      <c r="A14" s="5" t="s">
        <v>56</v>
      </c>
      <c r="B14" s="12" t="n">
        <f aca="false">'Legend + Assumptions'!$B$22*'Legend + Assumptions'!$B$28*B10</f>
        <v>1999800</v>
      </c>
    </row>
    <row r="15" customFormat="false" ht="15" hidden="false" customHeight="false" outlineLevel="0" collapsed="false">
      <c r="A15" s="5" t="s">
        <v>57</v>
      </c>
      <c r="B15" s="15" t="n">
        <f aca="false">IFERROR(B14/B11,0)</f>
        <v>0.9999</v>
      </c>
    </row>
    <row r="16" customFormat="false" ht="15" hidden="false" customHeight="false" outlineLevel="0" collapsed="false">
      <c r="A16" s="5" t="s">
        <v>58</v>
      </c>
      <c r="B16" s="12" t="n">
        <f aca="false">B11-B14</f>
        <v>200</v>
      </c>
    </row>
    <row r="18" customFormat="false" ht="15" hidden="false" customHeight="false" outlineLevel="0" collapsed="false">
      <c r="A18" s="5" t="s">
        <v>59</v>
      </c>
      <c r="B18" s="12" t="n">
        <f aca="false">B14*'Legend + Assumptions'!$B$29</f>
        <v>1199880</v>
      </c>
    </row>
    <row r="19" customFormat="false" ht="15" hidden="false" customHeight="false" outlineLevel="0" collapsed="false">
      <c r="A19" s="5" t="s">
        <v>60</v>
      </c>
      <c r="B19" s="12" t="n">
        <f aca="false">B14*'Legend + Assumptions'!$B$30</f>
        <v>499950</v>
      </c>
    </row>
    <row r="20" customFormat="false" ht="15" hidden="false" customHeight="false" outlineLevel="0" collapsed="false">
      <c r="A20" s="5" t="s">
        <v>61</v>
      </c>
      <c r="B20" s="12" t="n">
        <f aca="false">B14*'Legend + Assumptions'!$B$31</f>
        <v>299970</v>
      </c>
    </row>
    <row r="21" customFormat="false" ht="15" hidden="false" customHeight="false" outlineLevel="0" collapsed="false">
      <c r="A21" s="3" t="s">
        <v>62</v>
      </c>
      <c r="B21" s="12" t="n">
        <f aca="false">B18+B19+B20</f>
        <v>1999800</v>
      </c>
    </row>
    <row r="23" customFormat="false" ht="32.8" hidden="false" customHeight="false" outlineLevel="0" collapsed="false">
      <c r="A23" s="16" t="s">
        <v>63</v>
      </c>
      <c r="B23" s="12" t="n">
        <f aca="false">B14*(1-'Legend + Assumptions'!$B$32)</f>
        <v>1399860</v>
      </c>
    </row>
    <row r="24" customFormat="false" ht="15" hidden="false" customHeight="false" outlineLevel="0" collapsed="false">
      <c r="A24" s="5" t="s">
        <v>64</v>
      </c>
      <c r="B24" s="12" t="n">
        <f aca="false">B14*'Legend + Assumptions'!$B$32</f>
        <v>599940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52"/>
    <col collapsed="false" customWidth="true" hidden="false" outlineLevel="0" max="5" min="5" style="0" width="40"/>
    <col collapsed="false" customWidth="true" hidden="false" outlineLevel="0" max="6" min="6" style="0" width="22"/>
    <col collapsed="false" customWidth="true" hidden="false" outlineLevel="0" max="7" min="7" style="0" width="52"/>
    <col collapsed="false" customWidth="true" hidden="false" outlineLevel="0" max="8" min="8" style="0" width="26"/>
  </cols>
  <sheetData>
    <row r="1" customFormat="false" ht="17.35" hidden="false" customHeight="false" outlineLevel="0" collapsed="false">
      <c r="A1" s="1" t="s">
        <v>65</v>
      </c>
    </row>
    <row r="2" customFormat="false" ht="15" hidden="false" customHeight="false" outlineLevel="0" collapsed="false">
      <c r="A2" s="2" t="s">
        <v>66</v>
      </c>
    </row>
    <row r="4" customFormat="false" ht="15" hidden="false" customHeight="false" outlineLevel="0" collapsed="false">
      <c r="A4" s="17" t="s">
        <v>67</v>
      </c>
      <c r="B4" s="17" t="s">
        <v>68</v>
      </c>
      <c r="C4" s="17" t="s">
        <v>69</v>
      </c>
      <c r="D4" s="17" t="s">
        <v>70</v>
      </c>
      <c r="E4" s="17" t="s">
        <v>71</v>
      </c>
      <c r="F4" s="17" t="s">
        <v>72</v>
      </c>
      <c r="G4" s="17" t="s">
        <v>73</v>
      </c>
      <c r="H4" s="17" t="s">
        <v>27</v>
      </c>
    </row>
    <row r="5" customFormat="false" ht="60" hidden="false" customHeight="true" outlineLevel="0" collapsed="false">
      <c r="A5" s="18" t="s">
        <v>74</v>
      </c>
      <c r="B5" s="19" t="s">
        <v>75</v>
      </c>
      <c r="C5" s="20" t="s">
        <v>76</v>
      </c>
      <c r="D5" s="21" t="s">
        <v>77</v>
      </c>
      <c r="E5" s="21" t="s">
        <v>78</v>
      </c>
      <c r="F5" s="20" t="s">
        <v>79</v>
      </c>
      <c r="G5" s="21" t="s">
        <v>80</v>
      </c>
      <c r="H5" s="21" t="s">
        <v>81</v>
      </c>
    </row>
    <row r="6" customFormat="false" ht="60" hidden="false" customHeight="true" outlineLevel="0" collapsed="false">
      <c r="A6" s="18" t="s">
        <v>74</v>
      </c>
      <c r="B6" s="19" t="s">
        <v>75</v>
      </c>
      <c r="C6" s="20" t="s">
        <v>82</v>
      </c>
      <c r="D6" s="21" t="s">
        <v>83</v>
      </c>
      <c r="E6" s="21" t="s">
        <v>84</v>
      </c>
      <c r="F6" s="20" t="s">
        <v>85</v>
      </c>
      <c r="G6" s="21" t="s">
        <v>86</v>
      </c>
      <c r="H6" s="21" t="s">
        <v>81</v>
      </c>
    </row>
    <row r="7" customFormat="false" ht="60" hidden="false" customHeight="true" outlineLevel="0" collapsed="false">
      <c r="A7" s="18" t="s">
        <v>74</v>
      </c>
      <c r="B7" s="19" t="s">
        <v>75</v>
      </c>
      <c r="C7" s="20" t="s">
        <v>87</v>
      </c>
      <c r="D7" s="21" t="s">
        <v>88</v>
      </c>
      <c r="E7" s="21" t="s">
        <v>89</v>
      </c>
      <c r="F7" s="20" t="s">
        <v>90</v>
      </c>
      <c r="G7" s="21" t="s">
        <v>91</v>
      </c>
      <c r="H7" s="21" t="s">
        <v>92</v>
      </c>
    </row>
    <row r="8" customFormat="false" ht="60" hidden="false" customHeight="true" outlineLevel="0" collapsed="false">
      <c r="A8" s="18" t="s">
        <v>74</v>
      </c>
      <c r="B8" s="19" t="s">
        <v>75</v>
      </c>
      <c r="C8" s="20" t="s">
        <v>93</v>
      </c>
      <c r="D8" s="21" t="s">
        <v>94</v>
      </c>
      <c r="E8" s="21" t="s">
        <v>95</v>
      </c>
      <c r="F8" s="20" t="s">
        <v>96</v>
      </c>
      <c r="G8" s="21" t="s">
        <v>97</v>
      </c>
      <c r="H8" s="21" t="s">
        <v>81</v>
      </c>
    </row>
    <row r="9" customFormat="false" ht="60" hidden="false" customHeight="true" outlineLevel="0" collapsed="false">
      <c r="A9" s="18" t="s">
        <v>98</v>
      </c>
      <c r="B9" s="19" t="s">
        <v>99</v>
      </c>
      <c r="C9" s="20" t="s">
        <v>100</v>
      </c>
      <c r="D9" s="21" t="s">
        <v>101</v>
      </c>
      <c r="E9" s="21" t="s">
        <v>102</v>
      </c>
      <c r="F9" s="20" t="s">
        <v>103</v>
      </c>
      <c r="G9" s="21" t="s">
        <v>104</v>
      </c>
      <c r="H9" s="21" t="s">
        <v>105</v>
      </c>
    </row>
    <row r="10" customFormat="false" ht="60" hidden="false" customHeight="true" outlineLevel="0" collapsed="false">
      <c r="A10" s="18" t="s">
        <v>98</v>
      </c>
      <c r="B10" s="19" t="s">
        <v>75</v>
      </c>
      <c r="C10" s="20" t="s">
        <v>106</v>
      </c>
      <c r="D10" s="21" t="s">
        <v>107</v>
      </c>
      <c r="E10" s="21" t="s">
        <v>108</v>
      </c>
      <c r="F10" s="20" t="s">
        <v>109</v>
      </c>
      <c r="G10" s="21" t="s">
        <v>110</v>
      </c>
      <c r="H10" s="21" t="s">
        <v>105</v>
      </c>
    </row>
    <row r="11" customFormat="false" ht="60" hidden="false" customHeight="true" outlineLevel="0" collapsed="false">
      <c r="A11" s="18" t="s">
        <v>98</v>
      </c>
      <c r="B11" s="19" t="s">
        <v>75</v>
      </c>
      <c r="C11" s="20" t="s">
        <v>111</v>
      </c>
      <c r="D11" s="21" t="s">
        <v>112</v>
      </c>
      <c r="E11" s="21" t="s">
        <v>113</v>
      </c>
      <c r="F11" s="20" t="s">
        <v>114</v>
      </c>
      <c r="G11" s="21" t="s">
        <v>115</v>
      </c>
      <c r="H11" s="21" t="s">
        <v>29</v>
      </c>
    </row>
    <row r="12" customFormat="false" ht="60" hidden="false" customHeight="true" outlineLevel="0" collapsed="false">
      <c r="A12" s="18" t="s">
        <v>116</v>
      </c>
      <c r="B12" s="19" t="s">
        <v>117</v>
      </c>
      <c r="C12" s="20" t="s">
        <v>118</v>
      </c>
      <c r="D12" s="21" t="s">
        <v>119</v>
      </c>
      <c r="E12" s="21" t="s">
        <v>120</v>
      </c>
      <c r="F12" s="20" t="s">
        <v>121</v>
      </c>
      <c r="G12" s="21" t="s">
        <v>122</v>
      </c>
      <c r="H12" s="21" t="s">
        <v>123</v>
      </c>
    </row>
    <row r="13" customFormat="false" ht="60" hidden="false" customHeight="true" outlineLevel="0" collapsed="false">
      <c r="A13" s="18" t="s">
        <v>116</v>
      </c>
      <c r="B13" s="19" t="s">
        <v>75</v>
      </c>
      <c r="C13" s="20" t="s">
        <v>124</v>
      </c>
      <c r="D13" s="21" t="s">
        <v>125</v>
      </c>
      <c r="E13" s="21" t="s">
        <v>126</v>
      </c>
      <c r="F13" s="20" t="s">
        <v>127</v>
      </c>
      <c r="G13" s="21" t="s">
        <v>128</v>
      </c>
      <c r="H13" s="21" t="s">
        <v>129</v>
      </c>
    </row>
    <row r="14" customFormat="false" ht="60" hidden="false" customHeight="true" outlineLevel="0" collapsed="false">
      <c r="A14" s="18" t="s">
        <v>116</v>
      </c>
      <c r="B14" s="19" t="s">
        <v>75</v>
      </c>
      <c r="C14" s="20" t="s">
        <v>130</v>
      </c>
      <c r="D14" s="21" t="s">
        <v>131</v>
      </c>
      <c r="E14" s="21" t="s">
        <v>132</v>
      </c>
      <c r="F14" s="20" t="s">
        <v>133</v>
      </c>
      <c r="G14" s="21" t="s">
        <v>134</v>
      </c>
      <c r="H14" s="21" t="s">
        <v>135</v>
      </c>
    </row>
    <row r="15" customFormat="false" ht="60" hidden="false" customHeight="true" outlineLevel="0" collapsed="false">
      <c r="A15" s="18" t="s">
        <v>116</v>
      </c>
      <c r="B15" s="19" t="s">
        <v>75</v>
      </c>
      <c r="C15" s="20" t="s">
        <v>136</v>
      </c>
      <c r="D15" s="21" t="s">
        <v>137</v>
      </c>
      <c r="E15" s="21" t="s">
        <v>138</v>
      </c>
      <c r="F15" s="20" t="s">
        <v>139</v>
      </c>
      <c r="G15" s="21" t="s">
        <v>140</v>
      </c>
      <c r="H15" s="21" t="s">
        <v>29</v>
      </c>
    </row>
    <row r="16" customFormat="false" ht="60" hidden="false" customHeight="true" outlineLevel="0" collapsed="false">
      <c r="A16" s="18" t="s">
        <v>141</v>
      </c>
      <c r="B16" s="19" t="s">
        <v>142</v>
      </c>
      <c r="C16" s="20" t="s">
        <v>143</v>
      </c>
      <c r="D16" s="21" t="s">
        <v>144</v>
      </c>
      <c r="E16" s="21" t="s">
        <v>145</v>
      </c>
      <c r="F16" s="20" t="s">
        <v>146</v>
      </c>
      <c r="G16" s="21" t="s">
        <v>147</v>
      </c>
      <c r="H16" s="21" t="s">
        <v>148</v>
      </c>
    </row>
    <row r="17" customFormat="false" ht="60" hidden="false" customHeight="true" outlineLevel="0" collapsed="false">
      <c r="A17" s="18" t="s">
        <v>141</v>
      </c>
      <c r="B17" s="19" t="s">
        <v>75</v>
      </c>
      <c r="C17" s="20" t="s">
        <v>149</v>
      </c>
      <c r="D17" s="21" t="s">
        <v>150</v>
      </c>
      <c r="E17" s="21" t="s">
        <v>151</v>
      </c>
      <c r="F17" s="20" t="s">
        <v>152</v>
      </c>
      <c r="G17" s="21" t="s">
        <v>153</v>
      </c>
      <c r="H17" s="21" t="s">
        <v>29</v>
      </c>
    </row>
    <row r="18" customFormat="false" ht="60" hidden="false" customHeight="true" outlineLevel="0" collapsed="false">
      <c r="A18" s="18" t="s">
        <v>141</v>
      </c>
      <c r="B18" s="19" t="s">
        <v>142</v>
      </c>
      <c r="C18" s="20" t="s">
        <v>154</v>
      </c>
      <c r="D18" s="21" t="s">
        <v>155</v>
      </c>
      <c r="E18" s="21" t="s">
        <v>156</v>
      </c>
      <c r="F18" s="20" t="s">
        <v>157</v>
      </c>
      <c r="G18" s="21" t="s">
        <v>158</v>
      </c>
      <c r="H18" s="21" t="s">
        <v>159</v>
      </c>
    </row>
    <row r="19" customFormat="false" ht="60" hidden="false" customHeight="true" outlineLevel="0" collapsed="false">
      <c r="A19" s="18" t="s">
        <v>141</v>
      </c>
      <c r="B19" s="19" t="s">
        <v>75</v>
      </c>
      <c r="C19" s="20" t="s">
        <v>160</v>
      </c>
      <c r="D19" s="21" t="s">
        <v>161</v>
      </c>
      <c r="E19" s="21" t="s">
        <v>162</v>
      </c>
      <c r="F19" s="20" t="s">
        <v>163</v>
      </c>
      <c r="G19" s="21" t="s">
        <v>164</v>
      </c>
      <c r="H19" s="21" t="s">
        <v>29</v>
      </c>
    </row>
    <row r="20" customFormat="false" ht="60" hidden="false" customHeight="true" outlineLevel="0" collapsed="false">
      <c r="A20" s="18" t="s">
        <v>165</v>
      </c>
      <c r="B20" s="19" t="s">
        <v>166</v>
      </c>
      <c r="C20" s="20" t="s">
        <v>167</v>
      </c>
      <c r="D20" s="21" t="s">
        <v>168</v>
      </c>
      <c r="E20" s="21" t="s">
        <v>169</v>
      </c>
      <c r="F20" s="20" t="s">
        <v>170</v>
      </c>
      <c r="G20" s="21" t="s">
        <v>171</v>
      </c>
      <c r="H20" s="21" t="s">
        <v>172</v>
      </c>
    </row>
    <row r="21" customFormat="false" ht="60" hidden="false" customHeight="true" outlineLevel="0" collapsed="false">
      <c r="A21" s="18" t="s">
        <v>165</v>
      </c>
      <c r="B21" s="19" t="s">
        <v>166</v>
      </c>
      <c r="C21" s="20" t="s">
        <v>173</v>
      </c>
      <c r="D21" s="21" t="s">
        <v>174</v>
      </c>
      <c r="E21" s="21" t="s">
        <v>175</v>
      </c>
      <c r="F21" s="20" t="s">
        <v>176</v>
      </c>
      <c r="G21" s="21" t="s">
        <v>177</v>
      </c>
      <c r="H21" s="21" t="s">
        <v>29</v>
      </c>
    </row>
    <row r="22" customFormat="false" ht="60" hidden="false" customHeight="true" outlineLevel="0" collapsed="false">
      <c r="A22" s="18" t="s">
        <v>165</v>
      </c>
      <c r="B22" s="19" t="s">
        <v>166</v>
      </c>
      <c r="C22" s="20" t="s">
        <v>178</v>
      </c>
      <c r="D22" s="21" t="s">
        <v>179</v>
      </c>
      <c r="E22" s="21" t="s">
        <v>180</v>
      </c>
      <c r="F22" s="20" t="s">
        <v>181</v>
      </c>
      <c r="G22" s="21" t="s">
        <v>182</v>
      </c>
      <c r="H22" s="21" t="s">
        <v>29</v>
      </c>
    </row>
    <row r="23" customFormat="false" ht="60" hidden="false" customHeight="true" outlineLevel="0" collapsed="false">
      <c r="A23" s="18" t="s">
        <v>183</v>
      </c>
      <c r="B23" s="19" t="s">
        <v>184</v>
      </c>
      <c r="C23" s="20" t="s">
        <v>185</v>
      </c>
      <c r="D23" s="21" t="s">
        <v>186</v>
      </c>
      <c r="E23" s="21" t="s">
        <v>187</v>
      </c>
      <c r="F23" s="20" t="s">
        <v>188</v>
      </c>
      <c r="G23" s="21" t="s">
        <v>189</v>
      </c>
      <c r="H23" s="21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4"/>
    <col collapsed="false" customWidth="true" hidden="false" outlineLevel="0" max="3" min="3" style="0" width="34"/>
    <col collapsed="false" customWidth="true" hidden="false" outlineLevel="0" max="4" min="4" style="0" width="40"/>
    <col collapsed="false" customWidth="true" hidden="false" outlineLevel="0" max="5" min="5" style="0" width="24"/>
    <col collapsed="false" customWidth="true" hidden="false" outlineLevel="0" max="6" min="6" style="0" width="26"/>
    <col collapsed="false" customWidth="true" hidden="false" outlineLevel="0" max="7" min="7" style="0" width="44"/>
  </cols>
  <sheetData>
    <row r="1" customFormat="false" ht="17.35" hidden="false" customHeight="false" outlineLevel="0" collapsed="false">
      <c r="A1" s="1" t="s">
        <v>190</v>
      </c>
    </row>
    <row r="2" customFormat="false" ht="15" hidden="false" customHeight="false" outlineLevel="0" collapsed="false">
      <c r="A2" s="2" t="s">
        <v>191</v>
      </c>
    </row>
    <row r="4" customFormat="false" ht="15" hidden="false" customHeight="false" outlineLevel="0" collapsed="false">
      <c r="A4" s="17" t="s">
        <v>69</v>
      </c>
      <c r="B4" s="17" t="s">
        <v>192</v>
      </c>
      <c r="C4" s="17" t="s">
        <v>193</v>
      </c>
      <c r="D4" s="17" t="s">
        <v>194</v>
      </c>
      <c r="E4" s="17" t="s">
        <v>195</v>
      </c>
      <c r="F4" s="17" t="s">
        <v>196</v>
      </c>
      <c r="G4" s="17" t="s">
        <v>197</v>
      </c>
    </row>
    <row r="5" customFormat="false" ht="45.75" hidden="false" customHeight="true" outlineLevel="0" collapsed="false">
      <c r="A5" s="22" t="s">
        <v>198</v>
      </c>
      <c r="B5" s="23" t="s">
        <v>199</v>
      </c>
      <c r="C5" s="23" t="s">
        <v>200</v>
      </c>
      <c r="D5" s="23" t="s">
        <v>201</v>
      </c>
      <c r="E5" s="23" t="s">
        <v>202</v>
      </c>
      <c r="F5" s="23" t="s">
        <v>203</v>
      </c>
      <c r="G5" s="23" t="s">
        <v>204</v>
      </c>
    </row>
    <row r="6" customFormat="false" ht="15" hidden="false" customHeight="false" outlineLevel="0" collapsed="false">
      <c r="A6" s="2" t="s">
        <v>205</v>
      </c>
    </row>
    <row r="7" customFormat="false" ht="15" hidden="false" customHeight="false" outlineLevel="0" collapsed="false">
      <c r="A7" s="24"/>
      <c r="B7" s="24"/>
      <c r="C7" s="24"/>
      <c r="D7" s="24"/>
      <c r="E7" s="24"/>
      <c r="F7" s="24"/>
      <c r="G7" s="24"/>
    </row>
    <row r="8" customFormat="false" ht="15" hidden="false" customHeight="false" outlineLevel="0" collapsed="false">
      <c r="A8" s="24"/>
      <c r="B8" s="24"/>
      <c r="C8" s="24"/>
      <c r="D8" s="24"/>
      <c r="E8" s="24"/>
      <c r="F8" s="24"/>
      <c r="G8" s="24"/>
    </row>
    <row r="9" customFormat="false" ht="15" hidden="false" customHeight="false" outlineLevel="0" collapsed="false">
      <c r="A9" s="24"/>
      <c r="B9" s="24"/>
      <c r="C9" s="24"/>
      <c r="D9" s="24"/>
      <c r="E9" s="24"/>
      <c r="F9" s="24"/>
      <c r="G9" s="24"/>
    </row>
    <row r="10" customFormat="false" ht="15" hidden="false" customHeight="false" outlineLevel="0" collapsed="false">
      <c r="A10" s="24"/>
      <c r="B10" s="24"/>
      <c r="C10" s="24"/>
      <c r="D10" s="24"/>
      <c r="E10" s="24"/>
      <c r="F10" s="24"/>
      <c r="G10" s="24"/>
    </row>
    <row r="11" customFormat="false" ht="15" hidden="false" customHeight="false" outlineLevel="0" collapsed="false">
      <c r="A11" s="24"/>
      <c r="B11" s="24"/>
      <c r="C11" s="24"/>
      <c r="D11" s="24"/>
      <c r="E11" s="24"/>
      <c r="F11" s="24"/>
      <c r="G11" s="24"/>
    </row>
    <row r="12" customFormat="false" ht="15" hidden="false" customHeight="false" outlineLevel="0" collapsed="false">
      <c r="A12" s="24"/>
      <c r="B12" s="24"/>
      <c r="C12" s="24"/>
      <c r="D12" s="24"/>
      <c r="E12" s="24"/>
      <c r="F12" s="24"/>
      <c r="G12" s="24"/>
    </row>
    <row r="13" customFormat="false" ht="15" hidden="false" customHeight="false" outlineLevel="0" collapsed="false">
      <c r="A13" s="24"/>
      <c r="B13" s="24"/>
      <c r="C13" s="24"/>
      <c r="D13" s="24"/>
      <c r="E13" s="24"/>
      <c r="F13" s="24"/>
      <c r="G13" s="24"/>
    </row>
    <row r="14" customFormat="false" ht="15" hidden="false" customHeight="false" outlineLevel="0" collapsed="false">
      <c r="A14" s="24"/>
      <c r="B14" s="24"/>
      <c r="C14" s="24"/>
      <c r="D14" s="24"/>
      <c r="E14" s="24"/>
      <c r="F14" s="24"/>
      <c r="G14" s="24"/>
    </row>
    <row r="15" customFormat="false" ht="15" hidden="false" customHeight="false" outlineLevel="0" collapsed="false">
      <c r="A15" s="24"/>
      <c r="B15" s="24"/>
      <c r="C15" s="24"/>
      <c r="D15" s="24"/>
      <c r="E15" s="24"/>
      <c r="F15" s="24"/>
      <c r="G15" s="24"/>
    </row>
    <row r="16" customFormat="false" ht="15" hidden="false" customHeight="false" outlineLevel="0" collapsed="false">
      <c r="A16" s="24"/>
      <c r="B16" s="24"/>
      <c r="C16" s="24"/>
      <c r="D16" s="24"/>
      <c r="E16" s="24"/>
      <c r="F16" s="24"/>
      <c r="G16" s="24"/>
    </row>
    <row r="17" customFormat="false" ht="15" hidden="false" customHeight="false" outlineLevel="0" collapsed="false">
      <c r="A17" s="24"/>
      <c r="B17" s="24"/>
      <c r="C17" s="24"/>
      <c r="D17" s="24"/>
      <c r="E17" s="24"/>
      <c r="F17" s="24"/>
      <c r="G17" s="24"/>
    </row>
    <row r="18" customFormat="false" ht="15" hidden="false" customHeight="false" outlineLevel="0" collapsed="false">
      <c r="A18" s="24"/>
      <c r="B18" s="24"/>
      <c r="C18" s="24"/>
      <c r="D18" s="24"/>
      <c r="E18" s="24"/>
      <c r="F18" s="24"/>
      <c r="G18" s="24"/>
    </row>
    <row r="19" customFormat="false" ht="15" hidden="false" customHeight="false" outlineLevel="0" collapsed="false">
      <c r="A19" s="24"/>
      <c r="B19" s="24"/>
      <c r="C19" s="24"/>
      <c r="D19" s="24"/>
      <c r="E19" s="24"/>
      <c r="F19" s="24"/>
      <c r="G19" s="24"/>
    </row>
    <row r="20" customFormat="false" ht="15" hidden="false" customHeight="false" outlineLevel="0" collapsed="false">
      <c r="A20" s="24"/>
      <c r="B20" s="24"/>
      <c r="C20" s="24"/>
      <c r="D20" s="24"/>
      <c r="E20" s="24"/>
      <c r="F20" s="24"/>
      <c r="G20" s="24"/>
    </row>
    <row r="21" customFormat="false" ht="15" hidden="false" customHeight="false" outlineLevel="0" collapsed="false">
      <c r="A21" s="24"/>
      <c r="B21" s="24"/>
      <c r="C21" s="24"/>
      <c r="D21" s="24"/>
      <c r="E21" s="24"/>
      <c r="F21" s="24"/>
      <c r="G21" s="24"/>
    </row>
    <row r="22" customFormat="false" ht="15" hidden="false" customHeight="false" outlineLevel="0" collapsed="false">
      <c r="A22" s="24"/>
      <c r="B22" s="24"/>
      <c r="C22" s="24"/>
      <c r="D22" s="24"/>
      <c r="E22" s="24"/>
      <c r="F22" s="24"/>
      <c r="G22" s="24"/>
    </row>
    <row r="23" customFormat="false" ht="15" hidden="false" customHeight="false" outlineLevel="0" collapsed="false">
      <c r="A23" s="24"/>
      <c r="B23" s="24"/>
      <c r="C23" s="24"/>
      <c r="D23" s="24"/>
      <c r="E23" s="24"/>
      <c r="F23" s="24"/>
      <c r="G23" s="24"/>
    </row>
    <row r="24" customFormat="false" ht="15" hidden="false" customHeight="false" outlineLevel="0" collapsed="false">
      <c r="A24" s="24"/>
      <c r="B24" s="24"/>
      <c r="C24" s="24"/>
      <c r="D24" s="24"/>
      <c r="E24" s="24"/>
      <c r="F24" s="24"/>
      <c r="G24" s="24"/>
    </row>
    <row r="25" customFormat="false" ht="15" hidden="false" customHeight="false" outlineLevel="0" collapsed="false">
      <c r="A25" s="24"/>
      <c r="B25" s="24"/>
      <c r="C25" s="24"/>
      <c r="D25" s="24"/>
      <c r="E25" s="24"/>
      <c r="F25" s="24"/>
      <c r="G25" s="2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30"/>
    <col collapsed="false" customWidth="true" hidden="false" outlineLevel="0" max="5" min="5" style="0" width="46"/>
  </cols>
  <sheetData>
    <row r="1" customFormat="false" ht="17.35" hidden="false" customHeight="false" outlineLevel="0" collapsed="false">
      <c r="A1" s="1" t="s">
        <v>206</v>
      </c>
    </row>
    <row r="3" customFormat="false" ht="15" hidden="false" customHeight="false" outlineLevel="0" collapsed="false">
      <c r="A3" s="17" t="s">
        <v>69</v>
      </c>
      <c r="B3" s="17" t="s">
        <v>207</v>
      </c>
      <c r="C3" s="17" t="s">
        <v>208</v>
      </c>
      <c r="D3" s="17" t="s">
        <v>209</v>
      </c>
      <c r="E3" s="17" t="s">
        <v>210</v>
      </c>
    </row>
    <row r="4" customFormat="false" ht="15" hidden="false" customHeight="false" outlineLevel="0" collapsed="false">
      <c r="A4" s="23" t="s">
        <v>211</v>
      </c>
      <c r="B4" s="23" t="s">
        <v>212</v>
      </c>
      <c r="C4" s="23" t="s">
        <v>213</v>
      </c>
      <c r="D4" s="23" t="s">
        <v>214</v>
      </c>
      <c r="E4" s="23" t="s">
        <v>215</v>
      </c>
    </row>
    <row r="5" customFormat="false" ht="15" hidden="false" customHeight="false" outlineLevel="0" collapsed="false">
      <c r="A5" s="2" t="s">
        <v>205</v>
      </c>
    </row>
    <row r="6" customFormat="false" ht="15" hidden="false" customHeight="false" outlineLevel="0" collapsed="false">
      <c r="A6" s="24"/>
      <c r="B6" s="24"/>
      <c r="C6" s="24"/>
      <c r="D6" s="24"/>
      <c r="E6" s="24"/>
    </row>
    <row r="7" customFormat="false" ht="15" hidden="false" customHeight="false" outlineLevel="0" collapsed="false">
      <c r="A7" s="24"/>
      <c r="B7" s="24"/>
      <c r="C7" s="24"/>
      <c r="D7" s="24"/>
      <c r="E7" s="24"/>
    </row>
    <row r="8" customFormat="false" ht="15" hidden="false" customHeight="false" outlineLevel="0" collapsed="false">
      <c r="A8" s="24"/>
      <c r="B8" s="24"/>
      <c r="C8" s="24"/>
      <c r="D8" s="24"/>
      <c r="E8" s="24"/>
    </row>
    <row r="9" customFormat="false" ht="15" hidden="false" customHeight="false" outlineLevel="0" collapsed="false">
      <c r="A9" s="24"/>
      <c r="B9" s="24"/>
      <c r="C9" s="24"/>
      <c r="D9" s="24"/>
      <c r="E9" s="24"/>
    </row>
    <row r="10" customFormat="false" ht="15" hidden="false" customHeight="false" outlineLevel="0" collapsed="false">
      <c r="A10" s="24"/>
      <c r="B10" s="24"/>
      <c r="C10" s="24"/>
      <c r="D10" s="24"/>
      <c r="E10" s="24"/>
    </row>
    <row r="11" customFormat="false" ht="15" hidden="false" customHeight="false" outlineLevel="0" collapsed="false">
      <c r="A11" s="24"/>
      <c r="B11" s="24"/>
      <c r="C11" s="24"/>
      <c r="D11" s="24"/>
      <c r="E11" s="24"/>
    </row>
    <row r="12" customFormat="false" ht="15" hidden="false" customHeight="false" outlineLevel="0" collapsed="false">
      <c r="A12" s="24"/>
      <c r="B12" s="24"/>
      <c r="C12" s="24"/>
      <c r="D12" s="24"/>
      <c r="E12" s="24"/>
    </row>
    <row r="13" customFormat="false" ht="15" hidden="false" customHeight="false" outlineLevel="0" collapsed="false">
      <c r="A13" s="24"/>
      <c r="B13" s="24"/>
      <c r="C13" s="24"/>
      <c r="D13" s="24"/>
      <c r="E13" s="24"/>
    </row>
    <row r="14" customFormat="false" ht="15" hidden="false" customHeight="false" outlineLevel="0" collapsed="false">
      <c r="A14" s="24"/>
      <c r="B14" s="24"/>
      <c r="C14" s="24"/>
      <c r="D14" s="24"/>
      <c r="E14" s="24"/>
    </row>
    <row r="15" customFormat="false" ht="15" hidden="false" customHeight="false" outlineLevel="0" collapsed="false">
      <c r="A15" s="24"/>
      <c r="B15" s="24"/>
      <c r="C15" s="24"/>
      <c r="D15" s="24"/>
      <c r="E15" s="24"/>
    </row>
    <row r="16" customFormat="false" ht="15" hidden="false" customHeight="false" outlineLevel="0" collapsed="false">
      <c r="A16" s="24"/>
      <c r="B16" s="24"/>
      <c r="C16" s="24"/>
      <c r="D16" s="24"/>
      <c r="E16" s="24"/>
    </row>
    <row r="17" customFormat="false" ht="15" hidden="false" customHeight="false" outlineLevel="0" collapsed="false">
      <c r="A17" s="24"/>
      <c r="B17" s="24"/>
      <c r="C17" s="24"/>
      <c r="D17" s="24"/>
      <c r="E17" s="24"/>
    </row>
    <row r="18" customFormat="false" ht="15" hidden="false" customHeight="false" outlineLevel="0" collapsed="false">
      <c r="A18" s="24"/>
      <c r="B18" s="24"/>
      <c r="C18" s="24"/>
      <c r="D18" s="24"/>
      <c r="E18" s="24"/>
    </row>
    <row r="19" customFormat="false" ht="15" hidden="false" customHeight="false" outlineLevel="0" collapsed="false">
      <c r="A19" s="24"/>
      <c r="B19" s="24"/>
      <c r="C19" s="24"/>
      <c r="D19" s="24"/>
      <c r="E19" s="24"/>
    </row>
    <row r="20" customFormat="false" ht="15" hidden="false" customHeight="false" outlineLevel="0" collapsed="false">
      <c r="A20" s="24"/>
      <c r="B20" s="24"/>
      <c r="C20" s="24"/>
      <c r="D20" s="24"/>
      <c r="E20" s="24"/>
    </row>
    <row r="21" customFormat="false" ht="15" hidden="false" customHeight="false" outlineLevel="0" collapsed="false">
      <c r="A21" s="24"/>
      <c r="B21" s="24"/>
      <c r="C21" s="24"/>
      <c r="D21" s="24"/>
      <c r="E21" s="24"/>
    </row>
    <row r="22" customFormat="false" ht="15" hidden="false" customHeight="false" outlineLevel="0" collapsed="false">
      <c r="A22" s="24"/>
      <c r="B22" s="24"/>
      <c r="C22" s="24"/>
      <c r="D22" s="24"/>
      <c r="E22" s="24"/>
    </row>
    <row r="23" customFormat="false" ht="15" hidden="false" customHeight="false" outlineLevel="0" collapsed="false">
      <c r="A23" s="24"/>
      <c r="B23" s="24"/>
      <c r="C23" s="24"/>
      <c r="D23" s="24"/>
      <c r="E23" s="24"/>
    </row>
    <row r="24" customFormat="false" ht="15" hidden="false" customHeight="false" outlineLevel="0" collapsed="false">
      <c r="A24" s="24"/>
      <c r="B24" s="24"/>
      <c r="C24" s="24"/>
      <c r="D24" s="24"/>
      <c r="E24" s="24"/>
    </row>
    <row r="25" customFormat="false" ht="15" hidden="false" customHeight="false" outlineLevel="0" collapsed="false">
      <c r="A25" s="24"/>
      <c r="B25" s="24"/>
      <c r="C25" s="24"/>
      <c r="D25" s="24"/>
      <c r="E25" s="2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18"/>
  </cols>
  <sheetData>
    <row r="1" customFormat="false" ht="17.35" hidden="false" customHeight="false" outlineLevel="0" collapsed="false">
      <c r="A1" s="1" t="s">
        <v>216</v>
      </c>
    </row>
    <row r="2" customFormat="false" ht="15" hidden="false" customHeight="false" outlineLevel="0" collapsed="false">
      <c r="A2" s="2" t="s">
        <v>217</v>
      </c>
    </row>
    <row r="4" customFormat="false" ht="15" hidden="false" customHeight="false" outlineLevel="0" collapsed="false">
      <c r="A4" s="17" t="s">
        <v>67</v>
      </c>
      <c r="B4" s="17" t="s">
        <v>218</v>
      </c>
      <c r="C4" s="17" t="s">
        <v>219</v>
      </c>
      <c r="D4" s="17" t="s">
        <v>220</v>
      </c>
      <c r="E4" s="17" t="s">
        <v>221</v>
      </c>
    </row>
    <row r="5" customFormat="false" ht="15" hidden="false" customHeight="false" outlineLevel="0" collapsed="false">
      <c r="A5" s="20" t="s">
        <v>74</v>
      </c>
      <c r="B5" s="19" t="s">
        <v>222</v>
      </c>
      <c r="C5" s="25" t="n">
        <v>4</v>
      </c>
      <c r="D5" s="19" t="n">
        <f aca="false">COUNTIF('Design Matrix'!$A$5:$A$23,A5)</f>
        <v>4</v>
      </c>
      <c r="E5" s="19" t="n">
        <f aca="false">C5-D5</f>
        <v>0</v>
      </c>
    </row>
    <row r="6" customFormat="false" ht="15" hidden="false" customHeight="false" outlineLevel="0" collapsed="false">
      <c r="A6" s="20" t="s">
        <v>98</v>
      </c>
      <c r="B6" s="19" t="s">
        <v>223</v>
      </c>
      <c r="C6" s="25" t="n">
        <v>4</v>
      </c>
      <c r="D6" s="19" t="n">
        <f aca="false">COUNTIF('Design Matrix'!$A$5:$A$23,A6)</f>
        <v>3</v>
      </c>
      <c r="E6" s="19" t="n">
        <f aca="false">C6-D6</f>
        <v>1</v>
      </c>
    </row>
    <row r="7" customFormat="false" ht="15" hidden="false" customHeight="false" outlineLevel="0" collapsed="false">
      <c r="A7" s="20" t="s">
        <v>116</v>
      </c>
      <c r="B7" s="19" t="s">
        <v>224</v>
      </c>
      <c r="C7" s="25" t="n">
        <v>4</v>
      </c>
      <c r="D7" s="19" t="n">
        <f aca="false">COUNTIF('Design Matrix'!$A$5:$A$23,A7)</f>
        <v>4</v>
      </c>
      <c r="E7" s="19" t="n">
        <f aca="false">C7-D7</f>
        <v>0</v>
      </c>
    </row>
    <row r="8" customFormat="false" ht="15" hidden="false" customHeight="false" outlineLevel="0" collapsed="false">
      <c r="A8" s="20" t="s">
        <v>141</v>
      </c>
      <c r="B8" s="19" t="s">
        <v>225</v>
      </c>
      <c r="C8" s="25" t="n">
        <v>4</v>
      </c>
      <c r="D8" s="19" t="n">
        <f aca="false">COUNTIF('Design Matrix'!$A$5:$A$23,A8)</f>
        <v>4</v>
      </c>
      <c r="E8" s="19" t="n">
        <f aca="false">C8-D8</f>
        <v>0</v>
      </c>
    </row>
    <row r="9" customFormat="false" ht="15" hidden="false" customHeight="false" outlineLevel="0" collapsed="false">
      <c r="A9" s="20" t="s">
        <v>165</v>
      </c>
      <c r="B9" s="19" t="s">
        <v>226</v>
      </c>
      <c r="C9" s="25" t="n">
        <v>4</v>
      </c>
      <c r="D9" s="19" t="n">
        <f aca="false">COUNTIF('Design Matrix'!$A$5:$A$23,A9)</f>
        <v>3</v>
      </c>
      <c r="E9" s="19" t="n">
        <f aca="false">C9-D9</f>
        <v>1</v>
      </c>
    </row>
    <row r="10" customFormat="false" ht="15" hidden="false" customHeight="false" outlineLevel="0" collapsed="false">
      <c r="A10" s="20" t="s">
        <v>183</v>
      </c>
      <c r="B10" s="19" t="s">
        <v>227</v>
      </c>
      <c r="C10" s="25" t="n">
        <v>4</v>
      </c>
      <c r="D10" s="19" t="n">
        <f aca="false">COUNTIF('Design Matrix'!$A$5:$A$23,A10)</f>
        <v>1</v>
      </c>
      <c r="E10" s="19" t="n">
        <f aca="false">C10-D10</f>
        <v>3</v>
      </c>
    </row>
    <row r="11" customFormat="false" ht="15" hidden="false" customHeight="false" outlineLevel="0" collapsed="false">
      <c r="A11" s="20" t="s">
        <v>228</v>
      </c>
      <c r="B11" s="19" t="s">
        <v>229</v>
      </c>
      <c r="C11" s="25" t="n">
        <v>3</v>
      </c>
      <c r="D11" s="19" t="n">
        <f aca="false">COUNTIF('Design Matrix'!$A$5:$A$23,A11)</f>
        <v>0</v>
      </c>
      <c r="E11" s="19" t="n">
        <f aca="false">C11-D11</f>
        <v>3</v>
      </c>
    </row>
    <row r="12" customFormat="false" ht="15" hidden="false" customHeight="false" outlineLevel="0" collapsed="false">
      <c r="B12" s="20" t="s">
        <v>230</v>
      </c>
      <c r="C12" s="20" t="n">
        <f aca="false">SUM(C5:C11)</f>
        <v>27</v>
      </c>
      <c r="D12" s="20" t="n">
        <f aca="false">SUM(D5:D11)</f>
        <v>19</v>
      </c>
      <c r="E12" s="20" t="n">
        <f aca="false">SUM(E5:E11)</f>
        <v>8</v>
      </c>
    </row>
    <row r="13" customFormat="false" ht="15" hidden="false" customHeight="false" outlineLevel="0" collapsed="false">
      <c r="B13" s="3" t="s">
        <v>231</v>
      </c>
      <c r="C13" s="26" t="str">
        <f aca="false">IF(C12=27,"OK","MISMATCH")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2026-07-25T08:36:19Z</dcterms:created>
  <dc:creator>openpyxl</dc:creator>
  <dc:description/>
  <dc:language>en-US</dc:language>
  <cp:lastModifiedBy/>
  <dcterms:modified xsi:type="dcterms:W3CDTF">2026-07-25T08:36:19Z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